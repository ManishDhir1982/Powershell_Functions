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Final\Reneeka\"/>
    </mc:Choice>
  </mc:AlternateContent>
  <xr:revisionPtr revIDLastSave="0" documentId="8_{C0D0137E-6BC6-4163-B449-EFF7915D887E}" xr6:coauthVersionLast="47" xr6:coauthVersionMax="47" xr10:uidLastSave="{00000000-0000-0000-0000-000000000000}"/>
  <bookViews>
    <workbookView xWindow="-108" yWindow="-108" windowWidth="23256" windowHeight="12456" xr2:uid="{19758EB1-719B-47A3-83EA-C75071A4F096}"/>
  </bookViews>
  <sheets>
    <sheet name="Sheet_Gener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" i="1" l="1"/>
  <c r="H4" i="1"/>
  <c r="B4" i="1"/>
  <c r="J9" i="1"/>
  <c r="H9" i="1"/>
  <c r="B9" i="1"/>
  <c r="J7" i="1"/>
  <c r="J8" i="1"/>
  <c r="J2" i="1"/>
  <c r="J3" i="1"/>
  <c r="J5" i="1"/>
  <c r="J6" i="1"/>
  <c r="H8" i="1"/>
  <c r="B8" i="1"/>
  <c r="H6" i="1"/>
  <c r="B6" i="1"/>
  <c r="H5" i="1"/>
  <c r="B5" i="1"/>
  <c r="B7" i="1"/>
  <c r="H7" i="1"/>
  <c r="H3" i="1"/>
  <c r="H2" i="1"/>
  <c r="B3" i="1"/>
  <c r="B2" i="1"/>
</calcChain>
</file>

<file path=xl/sharedStrings.xml><?xml version="1.0" encoding="utf-8"?>
<sst xmlns="http://schemas.openxmlformats.org/spreadsheetml/2006/main" count="50" uniqueCount="28">
  <si>
    <t>School_Level</t>
  </si>
  <si>
    <t>Grade</t>
  </si>
  <si>
    <t>Group_Name</t>
  </si>
  <si>
    <t>Topic</t>
  </si>
  <si>
    <t>Elementary</t>
  </si>
  <si>
    <t>WebSite</t>
  </si>
  <si>
    <t>WebSite_URL</t>
  </si>
  <si>
    <t>Time</t>
  </si>
  <si>
    <t>Sub_Topic</t>
  </si>
  <si>
    <t>School_Level_Short</t>
  </si>
  <si>
    <t>Reading_Analog_Digital_Clocks</t>
  </si>
  <si>
    <t>Elapsed_Time_Clocks</t>
  </si>
  <si>
    <t>Member_Of_Group</t>
  </si>
  <si>
    <t>https://www.math-aids.com/cgi/pdf_viewer_10.cgi?script_name=elapsed_time_clocks.pl&amp;inc=1&amp;hour_minute=0&amp;max=1&amp;range=3&amp;language=0&amp;memo=&amp;x=110&amp;y=29</t>
  </si>
  <si>
    <t>https://www.math-aids.com/cgi/pdf_viewer_10.cgi?script_name=time_fillClocks.pl&amp;clock=2&amp;inc=1&amp;language=0&amp;memo=&amp;x=124&amp;y=32</t>
  </si>
  <si>
    <t>https://www.homeschoolmath.net/worksheets/table.php?type=*&amp;long=0&amp;col=2&amp;row=16&amp;min1=0&amp;max1=20&amp;step1=1&amp;list1=&amp;min2=0&amp;max2=20&amp;step2=1&amp;list2=&amp;min3=&amp;max3=&amp;step3=1&amp;list3=&amp;extraspace=0&amp;xdiv=0&amp;M=2&amp;D=2&amp;neg=1&amp;noborrow=1&amp;switchv=1&amp;switcho=1&amp;switch_v1v2=1&amp;font=Arial&amp;FontSize=14pt&amp;pad=12&amp;color=green&amp;ptitle=&amp;PDF_worksheet=PDF+worksheet</t>
  </si>
  <si>
    <t>HomeSchoolMath</t>
  </si>
  <si>
    <t>Multiplication</t>
  </si>
  <si>
    <t>Max_20</t>
  </si>
  <si>
    <t>Middle</t>
  </si>
  <si>
    <t>High</t>
  </si>
  <si>
    <t>Skip_By</t>
  </si>
  <si>
    <t>Max_21</t>
  </si>
  <si>
    <t>Elapsed_Time_Clocks1</t>
  </si>
  <si>
    <t>Math-Aids</t>
  </si>
  <si>
    <t>Reading_Analog_Digital_Clocks_3</t>
  </si>
  <si>
    <t>Reading_Analog_Digital_Clocks1</t>
  </si>
  <si>
    <t>Reading_Analog_Digital_Clocks2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</si>
</sst>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h-aids.com/cgi/pdf_viewer_10.cgi?script_name=time_fillClocks.pl&amp;clock=2&amp;inc=1&amp;language=0&amp;memo=&amp;x=124&amp;y=32" TargetMode="External"/><Relationship Id="rId3" Type="http://schemas.openxmlformats.org/officeDocument/2006/relationships/hyperlink" Target="https://www.homeschoolmath.net/worksheets/table.php?type=*&amp;long=0&amp;col=2&amp;row=16&amp;min1=0&amp;max1=20&amp;step1=1&amp;list1=&amp;min2=0&amp;max2=20&amp;step2=1&amp;list2=&amp;min3=&amp;max3=&amp;step3=1&amp;list3=&amp;extraspace=0&amp;xdiv=0&amp;M=2&amp;D=2&amp;neg=1&amp;noborrow=1&amp;switchv=1&amp;switcho=1&amp;switch_v1v2=1&amp;font=Arial&amp;FontSize=14pt&amp;pad=12&amp;color=green&amp;ptitle=&amp;PDF_worksheet=PDF+worksheet" TargetMode="External"/><Relationship Id="rId7" Type="http://schemas.openxmlformats.org/officeDocument/2006/relationships/hyperlink" Target="https://www.math-aids.com/cgi/pdf_viewer_10.cgi?script_name=time_fillClocks.pl&amp;clock=2&amp;inc=1&amp;language=0&amp;memo=&amp;x=124&amp;y=32" TargetMode="External"/><Relationship Id="rId2" Type="http://schemas.openxmlformats.org/officeDocument/2006/relationships/hyperlink" Target="https://www.math-aids.com/cgi/pdf_viewer_10.cgi?script_name=time_fillClocks.pl&amp;clock=2&amp;inc=1&amp;language=0&amp;memo=&amp;x=124&amp;y=32" TargetMode="External"/><Relationship Id="rId1" Type="http://schemas.openxmlformats.org/officeDocument/2006/relationships/hyperlink" Target="https://www.math-aids.com/cgi/pdf_viewer_10.cgi?script_name=elapsed_time_clocks.pl&amp;inc=1&amp;hour_minute=0&amp;max=1&amp;range=3&amp;language=0&amp;memo=&amp;x=110&amp;y=29" TargetMode="External"/><Relationship Id="rId6" Type="http://schemas.openxmlformats.org/officeDocument/2006/relationships/hyperlink" Target="https://www.homeschoolmath.net/worksheets/table.php?type=*&amp;long=0&amp;col=2&amp;row=16&amp;min1=0&amp;max1=20&amp;step1=1&amp;list1=&amp;min2=0&amp;max2=20&amp;step2=1&amp;list2=&amp;min3=&amp;max3=&amp;step3=1&amp;list3=&amp;extraspace=0&amp;xdiv=0&amp;M=2&amp;D=2&amp;neg=1&amp;noborrow=1&amp;switchv=1&amp;switcho=1&amp;switch_v1v2=1&amp;font=Arial&amp;FontSize=14pt&amp;pad=12&amp;color=green&amp;ptitle=&amp;PDF_worksheet=PDF+worksheet" TargetMode="External"/><Relationship Id="rId5" Type="http://schemas.openxmlformats.org/officeDocument/2006/relationships/hyperlink" Target="https://www.math-aids.com/cgi/pdf_viewer_10.cgi?script_name=time_fillClocks.pl&amp;clock=2&amp;inc=1&amp;language=0&amp;memo=&amp;x=124&amp;y=32" TargetMode="External"/><Relationship Id="rId4" Type="http://schemas.openxmlformats.org/officeDocument/2006/relationships/hyperlink" Target="https://www.math-aids.com/cgi/pdf_viewer_10.cgi?script_name=elapsed_time_clocks.pl&amp;inc=1&amp;hour_minute=0&amp;max=1&amp;range=3&amp;language=0&amp;memo=&amp;x=110&amp;y=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CEA6-4F9B-45DD-A7C7-516BE95BEA0A}">
  <dimension ref="A1:J9"/>
  <sheetViews>
    <sheetView tabSelected="1" workbookViewId="0">
      <selection activeCell="G5" sqref="G5"/>
    </sheetView>
  </sheetViews>
  <sheetFormatPr defaultColWidth="13.6640625" defaultRowHeight="14.4" x14ac:dyDescent="0.3"/>
  <cols>
    <col min="1" max="1" width="11.6640625" bestFit="1" customWidth="1"/>
    <col min="2" max="2" width="17.21875" bestFit="1" customWidth="1"/>
    <col min="3" max="3" width="15.77734375" bestFit="1" customWidth="1"/>
    <col min="4" max="4" width="43.5546875" customWidth="1"/>
    <col min="5" max="5" width="5.88671875" bestFit="1" customWidth="1"/>
    <col min="6" max="6" width="12.21875" bestFit="1" customWidth="1"/>
    <col min="7" max="7" width="26.77734375" bestFit="1" customWidth="1"/>
    <col min="8" max="8" width="42.44140625" bestFit="1" customWidth="1"/>
    <col min="9" max="9" width="17" bestFit="1" customWidth="1"/>
  </cols>
  <sheetData>
    <row r="1" spans="1:10" x14ac:dyDescent="0.3">
      <c r="A1" t="s">
        <v>0</v>
      </c>
      <c r="B1" t="s">
        <v>9</v>
      </c>
      <c r="C1" t="s">
        <v>5</v>
      </c>
      <c r="D1" t="s">
        <v>6</v>
      </c>
      <c r="E1" t="s">
        <v>1</v>
      </c>
      <c r="F1" t="s">
        <v>3</v>
      </c>
      <c r="G1" t="s">
        <v>8</v>
      </c>
      <c r="H1" t="s">
        <v>2</v>
      </c>
      <c r="I1" t="s">
        <v>12</v>
      </c>
      <c r="J1" t="s">
        <v>21</v>
      </c>
    </row>
    <row r="2" spans="1:10" x14ac:dyDescent="0.3">
      <c r="A2" t="s">
        <v>4</v>
      </c>
      <c r="B2" t="str">
        <f t="shared" ref="B2:B9" si="0">MID(A2,1,1)</f>
        <v>E</v>
      </c>
      <c r="C2" t="s">
        <v>24</v>
      </c>
      <c r="D2" s="1" t="s">
        <v>13</v>
      </c>
      <c r="E2">
        <v>4</v>
      </c>
      <c r="F2" t="s">
        <v>7</v>
      </c>
      <c r="G2" t="s">
        <v>11</v>
      </c>
      <c r="H2" t="str">
        <f t="shared" ref="H2:H8" si="1">"E|"&amp;C2&amp;"|"&amp;F2&amp;"|"&amp;G2</f>
        <v>E|Math-Aids|Time|Elapsed_Time_Clocks</v>
      </c>
      <c r="I2">
        <v>1</v>
      </c>
      <c r="J2">
        <f>COUNTIFS($I$2:$I$19,I2,$A$2:A$19,A2,$E$2:$E$19,E2)</f>
        <v>3</v>
      </c>
    </row>
    <row r="3" spans="1:10" x14ac:dyDescent="0.3">
      <c r="A3" t="s">
        <v>4</v>
      </c>
      <c r="B3" t="str">
        <f t="shared" si="0"/>
        <v>E</v>
      </c>
      <c r="C3" t="s">
        <v>24</v>
      </c>
      <c r="D3" s="1" t="s">
        <v>14</v>
      </c>
      <c r="E3">
        <v>4</v>
      </c>
      <c r="F3" t="s">
        <v>7</v>
      </c>
      <c r="G3" t="s">
        <v>26</v>
      </c>
      <c r="H3" t="str">
        <f t="shared" si="1"/>
        <v>E|Math-Aids|Time|Reading_Analog_Digital_Clocks1</v>
      </c>
      <c r="I3">
        <v>1</v>
      </c>
      <c r="J3">
        <f>COUNTIFS($I$2:$I$19,I3,$A$2:A$19,A3,$E$2:$E$19,E3)</f>
        <v>3</v>
      </c>
    </row>
    <row r="4" spans="1:10" x14ac:dyDescent="0.3">
      <c r="A4" t="s">
        <v>4</v>
      </c>
      <c r="B4" t="str">
        <f t="shared" si="0"/>
        <v>E</v>
      </c>
      <c r="C4" t="s">
        <v>24</v>
      </c>
      <c r="D4" s="1" t="s">
        <v>14</v>
      </c>
      <c r="E4">
        <v>4</v>
      </c>
      <c r="F4" t="s">
        <v>7</v>
      </c>
      <c r="G4" t="s">
        <v>27</v>
      </c>
      <c r="H4" t="str">
        <f t="shared" ref="H4" si="2">"E|"&amp;C4&amp;"|"&amp;F4&amp;"|"&amp;G4</f>
        <v>E|Math-Aids|Time|Reading_Analog_Digital_Clocks2</v>
      </c>
      <c r="I4">
        <v>1</v>
      </c>
      <c r="J4">
        <f>COUNTIFS($I$2:$I$19,I4,$A$2:A$19,A4,$E$2:$E$19,E4)</f>
        <v>3</v>
      </c>
    </row>
    <row r="5" spans="1:10" x14ac:dyDescent="0.3">
      <c r="A5" t="s">
        <v>19</v>
      </c>
      <c r="B5" t="str">
        <f t="shared" si="0"/>
        <v>M</v>
      </c>
      <c r="C5" t="s">
        <v>24</v>
      </c>
      <c r="D5" s="1" t="s">
        <v>13</v>
      </c>
      <c r="E5">
        <v>4</v>
      </c>
      <c r="F5" t="s">
        <v>7</v>
      </c>
      <c r="G5" t="s">
        <v>23</v>
      </c>
      <c r="H5" t="str">
        <f t="shared" si="1"/>
        <v>E|Math-Aids|Time|Elapsed_Time_Clocks1</v>
      </c>
      <c r="I5">
        <v>1</v>
      </c>
      <c r="J5">
        <f>COUNTIFS($I$2:$I$19,I5,$A$2:A$19,A5,$E$2:$E$19,E5)</f>
        <v>1</v>
      </c>
    </row>
    <row r="6" spans="1:10" x14ac:dyDescent="0.3">
      <c r="A6" t="s">
        <v>20</v>
      </c>
      <c r="B6" t="str">
        <f t="shared" si="0"/>
        <v>H</v>
      </c>
      <c r="C6" t="s">
        <v>24</v>
      </c>
      <c r="D6" s="1" t="s">
        <v>14</v>
      </c>
      <c r="E6">
        <v>4</v>
      </c>
      <c r="F6" t="s">
        <v>7</v>
      </c>
      <c r="G6" t="s">
        <v>10</v>
      </c>
      <c r="H6" t="str">
        <f t="shared" si="1"/>
        <v>E|Math-Aids|Time|Reading_Analog_Digital_Clocks</v>
      </c>
      <c r="I6">
        <v>1</v>
      </c>
      <c r="J6">
        <f>COUNTIFS($I$2:$I$19,I6,$A$2:A$19,A6,$E$2:$E$19,E6)</f>
        <v>1</v>
      </c>
    </row>
    <row r="7" spans="1:10" x14ac:dyDescent="0.3">
      <c r="A7" t="s">
        <v>4</v>
      </c>
      <c r="B7" t="str">
        <f t="shared" si="0"/>
        <v>E</v>
      </c>
      <c r="C7" t="s">
        <v>16</v>
      </c>
      <c r="D7" s="1" t="s">
        <v>15</v>
      </c>
      <c r="E7">
        <v>4</v>
      </c>
      <c r="F7" t="s">
        <v>17</v>
      </c>
      <c r="G7" t="s">
        <v>18</v>
      </c>
      <c r="H7" t="str">
        <f t="shared" si="1"/>
        <v>E|HomeSchoolMath|Multiplication|Max_20</v>
      </c>
      <c r="I7">
        <v>2</v>
      </c>
      <c r="J7">
        <f>COUNTIFS($I$2:$I$19,I7,$A$2:A$19,A7,$E$2:$E$19,E7)</f>
        <v>2</v>
      </c>
    </row>
    <row r="8" spans="1:10" x14ac:dyDescent="0.3">
      <c r="A8" t="s">
        <v>4</v>
      </c>
      <c r="B8" t="str">
        <f t="shared" si="0"/>
        <v>E</v>
      </c>
      <c r="C8" t="s">
        <v>16</v>
      </c>
      <c r="D8" s="1" t="s">
        <v>15</v>
      </c>
      <c r="E8">
        <v>4</v>
      </c>
      <c r="F8" t="s">
        <v>17</v>
      </c>
      <c r="G8" t="s">
        <v>22</v>
      </c>
      <c r="H8" t="str">
        <f t="shared" si="1"/>
        <v>E|HomeSchoolMath|Multiplication|Max_21</v>
      </c>
      <c r="I8">
        <v>2</v>
      </c>
      <c r="J8">
        <f>COUNTIFS($I$2:$I$19,I8,$A$2:A$19,A8,$E$2:$E$19,E8)</f>
        <v>2</v>
      </c>
    </row>
    <row r="9" spans="1:10" x14ac:dyDescent="0.3">
      <c r="A9" t="s">
        <v>4</v>
      </c>
      <c r="B9" t="str">
        <f t="shared" si="0"/>
        <v>E</v>
      </c>
      <c r="C9" t="s">
        <v>24</v>
      </c>
      <c r="D9" s="1" t="s">
        <v>14</v>
      </c>
      <c r="E9">
        <v>4</v>
      </c>
      <c r="F9" t="s">
        <v>7</v>
      </c>
      <c r="G9" t="s">
        <v>25</v>
      </c>
      <c r="H9" t="str">
        <f t="shared" ref="H9" si="3">"E|"&amp;C9&amp;"|"&amp;F9&amp;"|"&amp;G9</f>
        <v>E|Math-Aids|Time|Reading_Analog_Digital_Clocks_3</v>
      </c>
      <c r="I9">
        <v>3</v>
      </c>
      <c r="J9">
        <f>COUNTIFS($I$2:$I$19,I9,$A$2:A$19,A9,$E$2:$E$19,E9)</f>
        <v>1</v>
      </c>
    </row>
  </sheetData>
  <sortState xmlns:xlrd2="http://schemas.microsoft.com/office/spreadsheetml/2017/richdata2" ref="A2:J8">
    <sortCondition ref="I2:I8"/>
  </sortState>
  <hyperlinks>
    <hyperlink ref="D2" r:id="rId1" xr:uid="{469D637F-32FC-413F-B864-BFBDB64780D2}"/>
    <hyperlink ref="D3" r:id="rId2" xr:uid="{5E88CB1B-8213-4E2A-9505-2A6D181F1266}"/>
    <hyperlink ref="D7" r:id="rId3" display="https://www.homeschoolmath.net/worksheets/table.php?type=*&amp;long=0&amp;col=2&amp;row=16&amp;min1=0&amp;max1=20&amp;step1=1&amp;list1=&amp;min2=0&amp;max2=20&amp;step2=1&amp;list2=&amp;min3=&amp;max3=&amp;step3=1&amp;list3=&amp;extraspace=0&amp;xdiv=0&amp;M=2&amp;D=2&amp;neg=1&amp;noborrow=1&amp;switchv=1&amp;switcho=1&amp;switch_v1v2=1&amp;font=Arial&amp;FontSize=14pt&amp;pad=12&amp;color=green&amp;ptitle=&amp;PDF_worksheet=PDF+worksheet" xr:uid="{7440A205-4128-4441-BAF0-2728F1BF57EB}"/>
    <hyperlink ref="D5" r:id="rId4" xr:uid="{C60AD252-8601-40C3-92BF-294E77E0715A}"/>
    <hyperlink ref="D6" r:id="rId5" xr:uid="{42A4F8B2-C52F-4B8F-B014-132B42B0BCFA}"/>
    <hyperlink ref="D8" r:id="rId6" display="https://www.homeschoolmath.net/worksheets/table.php?type=*&amp;long=0&amp;col=2&amp;row=16&amp;min1=0&amp;max1=20&amp;step1=1&amp;list1=&amp;min2=0&amp;max2=20&amp;step2=1&amp;list2=&amp;min3=&amp;max3=&amp;step3=1&amp;list3=&amp;extraspace=0&amp;xdiv=0&amp;M=2&amp;D=2&amp;neg=1&amp;noborrow=1&amp;switchv=1&amp;switcho=1&amp;switch_v1v2=1&amp;font=Arial&amp;FontSize=14pt&amp;pad=12&amp;color=green&amp;ptitle=&amp;PDF_worksheet=PDF+worksheet" xr:uid="{59AB24E2-6C61-4818-B682-7A69A84A6934}"/>
    <hyperlink ref="D9" r:id="rId7" xr:uid="{C7848B2F-8CC0-4FB6-88BD-DD20D8336BCE}"/>
    <hyperlink ref="D4" r:id="rId8" xr:uid="{26BF8545-6614-455E-85DE-F545DDE86A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Tarun.Chauhan.Std</dc:creator>
  <cp:lastModifiedBy>Tarun.Chauhan.Std</cp:lastModifiedBy>
  <dcterms:created xsi:type="dcterms:W3CDTF">2022-06-24T14:15:06Z</dcterms:created>
  <dcterms:modified xsi:type="dcterms:W3CDTF">2022-06-25T00:23:29Z</dcterms:modified>
</cp:coreProperties>
</file>